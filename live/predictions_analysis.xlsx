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sog\SCHOOL\Summer project\ML-football-odds\live\"/>
    </mc:Choice>
  </mc:AlternateContent>
  <xr:revisionPtr revIDLastSave="0" documentId="8_{90BA051D-7CCD-4F41-83DE-786DCA5B8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iction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O22" i="1"/>
  <c r="O12" i="1"/>
  <c r="N32" i="1"/>
  <c r="N22" i="1"/>
  <c r="N12" i="1"/>
  <c r="O2" i="1"/>
  <c r="N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N42" i="1" l="1"/>
  <c r="O42" i="1"/>
  <c r="P2" i="1"/>
  <c r="P4" i="1"/>
</calcChain>
</file>

<file path=xl/sharedStrings.xml><?xml version="1.0" encoding="utf-8"?>
<sst xmlns="http://schemas.openxmlformats.org/spreadsheetml/2006/main" count="217" uniqueCount="72">
  <si>
    <t>round</t>
  </si>
  <si>
    <t>match_date</t>
  </si>
  <si>
    <t>home_team</t>
  </si>
  <si>
    <t>away_team</t>
  </si>
  <si>
    <t>odds_home</t>
  </si>
  <si>
    <t>odds_draw</t>
  </si>
  <si>
    <t>odds_away</t>
  </si>
  <si>
    <t>market_fair_odds_home</t>
  </si>
  <si>
    <t>market_fair_odds_draw</t>
  </si>
  <si>
    <t>market_fair_odds_away</t>
  </si>
  <si>
    <t>actual_result</t>
  </si>
  <si>
    <t>log_loss_model</t>
  </si>
  <si>
    <t>log_loss_market</t>
  </si>
  <si>
    <t>Pooled avg log loss (model):</t>
  </si>
  <si>
    <t>2026-08-21 19:00:00</t>
  </si>
  <si>
    <t>Arsenal</t>
  </si>
  <si>
    <t>Coventry</t>
  </si>
  <si>
    <t>H</t>
  </si>
  <si>
    <t>2026-08-22 11:30:00</t>
  </si>
  <si>
    <t>Hull</t>
  </si>
  <si>
    <t>Man United</t>
  </si>
  <si>
    <t>Pooled avg log loss (market):</t>
  </si>
  <si>
    <t>2026-08-22 14:00:00</t>
  </si>
  <si>
    <t>Everton</t>
  </si>
  <si>
    <t>Crystal Palace</t>
  </si>
  <si>
    <t>A</t>
  </si>
  <si>
    <t>Ipswich</t>
  </si>
  <si>
    <t>Sunderland</t>
  </si>
  <si>
    <t>Nott'm Forest</t>
  </si>
  <si>
    <t>Leeds</t>
  </si>
  <si>
    <t>2026-08-22 16:30:00</t>
  </si>
  <si>
    <t>Brentford</t>
  </si>
  <si>
    <t>Tottenham</t>
  </si>
  <si>
    <t>2026-08-23 13:00:00</t>
  </si>
  <si>
    <t>Brighton</t>
  </si>
  <si>
    <t>Aston Villa</t>
  </si>
  <si>
    <t>Man City</t>
  </si>
  <si>
    <t>Bournemouth</t>
  </si>
  <si>
    <t>2026-08-23 15:30:00</t>
  </si>
  <si>
    <t>Newcastle</t>
  </si>
  <si>
    <t>Liverpool</t>
  </si>
  <si>
    <t>D</t>
  </si>
  <si>
    <t>2026-08-24 19:00:00</t>
  </si>
  <si>
    <t>Fulham</t>
  </si>
  <si>
    <t>Chelsea</t>
  </si>
  <si>
    <t>2026-08-28 19:00:00</t>
  </si>
  <si>
    <t>2026-08-29 11:30:00</t>
  </si>
  <si>
    <t>2026-08-29 14:00:00</t>
  </si>
  <si>
    <t>2026-08-29 16:30:00</t>
  </si>
  <si>
    <t>2026-08-30 13:00:00</t>
  </si>
  <si>
    <t>2026-08-30 15:30:00</t>
  </si>
  <si>
    <t>2026-08-31 19:00:00</t>
  </si>
  <si>
    <t>2026-09-04 19:00:00</t>
  </si>
  <si>
    <t>2026-09-05 11:30:00</t>
  </si>
  <si>
    <t>2026-09-05 14:00:00</t>
  </si>
  <si>
    <t>2026-09-05 16:30:00</t>
  </si>
  <si>
    <t>2026-09-06 13:00:00</t>
  </si>
  <si>
    <t>2026-09-06 15:30:00</t>
  </si>
  <si>
    <t>2026-09-12 14:00:00</t>
  </si>
  <si>
    <t>2026-09-12 16:30:00</t>
  </si>
  <si>
    <t>2026-09-12 19:00:00</t>
  </si>
  <si>
    <t>2026-09-13 13:00:00</t>
  </si>
  <si>
    <t>2026-09-13 15:30:00</t>
  </si>
  <si>
    <t>2026-09-14 19:00:00</t>
  </si>
  <si>
    <t>2026-09-19 11:30:00</t>
  </si>
  <si>
    <t>2026-09-19 14:00:00</t>
  </si>
  <si>
    <t>2026-09-19 16:30:00</t>
  </si>
  <si>
    <t>2026-09-20 13:00:00</t>
  </si>
  <si>
    <t>2026-09-20 15:30:00</t>
  </si>
  <si>
    <t>2026-09-18 19:00:00</t>
  </si>
  <si>
    <t>round model</t>
  </si>
  <si>
    <t>round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</si>
</sst>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43" workbookViewId="0">
      <selection activeCell="K51" sqref="K51"/>
    </sheetView>
  </sheetViews>
  <sheetFormatPr defaultRowHeight="14.4" x14ac:dyDescent="0.3"/>
  <cols>
    <col min="1" max="1" width="7" customWidth="1"/>
    <col min="2" max="2" width="21" customWidth="1"/>
    <col min="3" max="4" width="16" customWidth="1"/>
    <col min="5" max="7" width="11" customWidth="1"/>
    <col min="8" max="10" width="22" customWidth="1"/>
    <col min="11" max="11" width="15" customWidth="1"/>
    <col min="12" max="13" width="22" customWidth="1"/>
    <col min="14" max="14" width="13.77734375" customWidth="1"/>
    <col min="15" max="15" width="1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70</v>
      </c>
      <c r="O1" s="1" t="s">
        <v>71</v>
      </c>
      <c r="P1" s="1" t="s">
        <v>13</v>
      </c>
    </row>
    <row r="2" spans="1:16" x14ac:dyDescent="0.3">
      <c r="A2">
        <v>1</v>
      </c>
      <c r="B2" t="s">
        <v>14</v>
      </c>
      <c r="C2" t="s">
        <v>15</v>
      </c>
      <c r="D2" t="s">
        <v>16</v>
      </c>
      <c r="E2">
        <v>1.77</v>
      </c>
      <c r="F2">
        <v>3.9</v>
      </c>
      <c r="G2">
        <v>5.62</v>
      </c>
      <c r="H2">
        <v>1.24</v>
      </c>
      <c r="I2">
        <v>7.38</v>
      </c>
      <c r="J2">
        <v>16.87</v>
      </c>
      <c r="K2" t="s">
        <v>17</v>
      </c>
      <c r="L2" s="2">
        <f t="shared" ref="L2:L33" si="0">IF(K2="H",LN(E2),IF(K2="D",LN(F2),IF(K2="A",LN(G2),"")))</f>
        <v>0.5709795465857378</v>
      </c>
      <c r="M2" s="2">
        <f t="shared" ref="M2:M33" si="1">IF(K2="H",LN(H2),IF(K2="D",LN(I2),IF(K2="A",LN(J2),"")))</f>
        <v>0.21511137961694549</v>
      </c>
      <c r="N2" s="3">
        <f>SUM(L2:L11)/COUNT(L2:L11)</f>
        <v>1.01858365096099</v>
      </c>
      <c r="O2" s="3">
        <f>SUM(M2:M11)/COUNT(M2:M11)</f>
        <v>1.0017269481317514</v>
      </c>
      <c r="P2">
        <f>AVERAGE(L:L)</f>
        <v>1.0856607613657507</v>
      </c>
    </row>
    <row r="3" spans="1:16" x14ac:dyDescent="0.3">
      <c r="A3">
        <v>1</v>
      </c>
      <c r="B3" t="s">
        <v>18</v>
      </c>
      <c r="C3" t="s">
        <v>19</v>
      </c>
      <c r="D3" t="s">
        <v>20</v>
      </c>
      <c r="E3">
        <v>4.13</v>
      </c>
      <c r="F3">
        <v>3.78</v>
      </c>
      <c r="G3">
        <v>2.0299999999999998</v>
      </c>
      <c r="H3">
        <v>10.210000000000001</v>
      </c>
      <c r="I3">
        <v>5.44</v>
      </c>
      <c r="J3">
        <v>1.39</v>
      </c>
      <c r="K3" t="s">
        <v>17</v>
      </c>
      <c r="L3" s="2">
        <f t="shared" si="0"/>
        <v>1.4182774069729414</v>
      </c>
      <c r="M3" s="2">
        <f t="shared" si="1"/>
        <v>2.3233676321765744</v>
      </c>
      <c r="N3" s="3"/>
      <c r="O3" s="3"/>
      <c r="P3" s="1" t="s">
        <v>21</v>
      </c>
    </row>
    <row r="4" spans="1:16" x14ac:dyDescent="0.3">
      <c r="A4">
        <v>1</v>
      </c>
      <c r="B4" t="s">
        <v>22</v>
      </c>
      <c r="C4" t="s">
        <v>23</v>
      </c>
      <c r="D4" t="s">
        <v>24</v>
      </c>
      <c r="E4">
        <v>2.21</v>
      </c>
      <c r="F4">
        <v>3.5</v>
      </c>
      <c r="G4">
        <v>3.81</v>
      </c>
      <c r="H4">
        <v>2.33</v>
      </c>
      <c r="I4">
        <v>3.59</v>
      </c>
      <c r="J4">
        <v>3.41</v>
      </c>
      <c r="K4" t="s">
        <v>25</v>
      </c>
      <c r="L4" s="2">
        <f t="shared" si="0"/>
        <v>1.3376291891386096</v>
      </c>
      <c r="M4" s="2">
        <f t="shared" si="1"/>
        <v>1.2267122912954254</v>
      </c>
      <c r="N4" s="3"/>
      <c r="O4" s="3"/>
      <c r="P4">
        <f>AVERAGE(M:M)</f>
        <v>1.0577767770074227</v>
      </c>
    </row>
    <row r="5" spans="1:16" x14ac:dyDescent="0.3">
      <c r="A5">
        <v>1</v>
      </c>
      <c r="B5" t="s">
        <v>22</v>
      </c>
      <c r="C5" t="s">
        <v>26</v>
      </c>
      <c r="D5" t="s">
        <v>27</v>
      </c>
      <c r="E5">
        <v>2.96</v>
      </c>
      <c r="F5">
        <v>3.51</v>
      </c>
      <c r="G5">
        <v>2.65</v>
      </c>
      <c r="H5">
        <v>2.92</v>
      </c>
      <c r="I5">
        <v>3.36</v>
      </c>
      <c r="J5">
        <v>2.78</v>
      </c>
      <c r="K5" t="s">
        <v>17</v>
      </c>
      <c r="L5" s="2">
        <f t="shared" si="0"/>
        <v>1.085189268335969</v>
      </c>
      <c r="M5" s="2">
        <f t="shared" si="1"/>
        <v>1.0715836162801904</v>
      </c>
      <c r="N5" s="3"/>
      <c r="O5" s="3"/>
    </row>
    <row r="6" spans="1:16" x14ac:dyDescent="0.3">
      <c r="A6">
        <v>1</v>
      </c>
      <c r="B6" t="s">
        <v>22</v>
      </c>
      <c r="C6" t="s">
        <v>28</v>
      </c>
      <c r="D6" t="s">
        <v>29</v>
      </c>
      <c r="E6">
        <v>2.14</v>
      </c>
      <c r="F6">
        <v>3.59</v>
      </c>
      <c r="G6">
        <v>3.95</v>
      </c>
      <c r="H6">
        <v>2.42</v>
      </c>
      <c r="I6">
        <v>3.51</v>
      </c>
      <c r="J6">
        <v>3.32</v>
      </c>
      <c r="K6" t="s">
        <v>17</v>
      </c>
      <c r="L6" s="2">
        <f t="shared" si="0"/>
        <v>0.76080582903376015</v>
      </c>
      <c r="M6" s="2">
        <f t="shared" si="1"/>
        <v>0.88376754016859504</v>
      </c>
      <c r="N6" s="3"/>
      <c r="O6" s="3"/>
    </row>
    <row r="7" spans="1:16" x14ac:dyDescent="0.3">
      <c r="A7">
        <v>1</v>
      </c>
      <c r="B7" t="s">
        <v>30</v>
      </c>
      <c r="C7" t="s">
        <v>31</v>
      </c>
      <c r="D7" t="s">
        <v>32</v>
      </c>
      <c r="E7">
        <v>2.36</v>
      </c>
      <c r="F7">
        <v>3.62</v>
      </c>
      <c r="G7">
        <v>3.34</v>
      </c>
      <c r="H7">
        <v>2.46</v>
      </c>
      <c r="I7">
        <v>3.87</v>
      </c>
      <c r="J7">
        <v>2.98</v>
      </c>
      <c r="K7" t="s">
        <v>17</v>
      </c>
      <c r="L7" s="2">
        <f t="shared" si="0"/>
        <v>0.8586616190375187</v>
      </c>
      <c r="M7" s="2">
        <f t="shared" si="1"/>
        <v>0.90016134994427144</v>
      </c>
      <c r="N7" s="3"/>
      <c r="O7" s="3"/>
    </row>
    <row r="8" spans="1:16" x14ac:dyDescent="0.3">
      <c r="A8">
        <v>1</v>
      </c>
      <c r="B8" t="s">
        <v>33</v>
      </c>
      <c r="C8" t="s">
        <v>34</v>
      </c>
      <c r="D8" t="s">
        <v>35</v>
      </c>
      <c r="E8">
        <v>2.2200000000000002</v>
      </c>
      <c r="F8">
        <v>3.53</v>
      </c>
      <c r="G8">
        <v>3.77</v>
      </c>
      <c r="H8">
        <v>2.31</v>
      </c>
      <c r="I8">
        <v>3.78</v>
      </c>
      <c r="J8">
        <v>3.3</v>
      </c>
      <c r="K8" t="s">
        <v>17</v>
      </c>
      <c r="L8" s="2">
        <f t="shared" si="0"/>
        <v>0.79750719588418817</v>
      </c>
      <c r="M8" s="2">
        <f t="shared" si="1"/>
        <v>0.83724752453370221</v>
      </c>
      <c r="N8" s="3"/>
      <c r="O8" s="3"/>
    </row>
    <row r="9" spans="1:16" x14ac:dyDescent="0.3">
      <c r="A9">
        <v>1</v>
      </c>
      <c r="B9" t="s">
        <v>33</v>
      </c>
      <c r="C9" t="s">
        <v>36</v>
      </c>
      <c r="D9" t="s">
        <v>37</v>
      </c>
      <c r="E9">
        <v>1.84</v>
      </c>
      <c r="F9">
        <v>4.05</v>
      </c>
      <c r="G9">
        <v>4.76</v>
      </c>
      <c r="H9">
        <v>1.55</v>
      </c>
      <c r="I9">
        <v>5.2</v>
      </c>
      <c r="J9">
        <v>6.17</v>
      </c>
      <c r="K9" t="s">
        <v>17</v>
      </c>
      <c r="L9" s="2">
        <f t="shared" si="0"/>
        <v>0.60976557162089429</v>
      </c>
      <c r="M9" s="2">
        <f t="shared" si="1"/>
        <v>0.43825493093115531</v>
      </c>
      <c r="N9" s="3"/>
      <c r="O9" s="3"/>
    </row>
    <row r="10" spans="1:16" x14ac:dyDescent="0.3">
      <c r="A10">
        <v>1</v>
      </c>
      <c r="B10" t="s">
        <v>38</v>
      </c>
      <c r="C10" t="s">
        <v>39</v>
      </c>
      <c r="D10" t="s">
        <v>40</v>
      </c>
      <c r="E10">
        <v>2.33</v>
      </c>
      <c r="F10">
        <v>3.87</v>
      </c>
      <c r="G10">
        <v>3.21</v>
      </c>
      <c r="H10">
        <v>3.92</v>
      </c>
      <c r="I10">
        <v>4.17</v>
      </c>
      <c r="J10">
        <v>1.98</v>
      </c>
      <c r="K10" t="s">
        <v>41</v>
      </c>
      <c r="L10" s="2">
        <f t="shared" si="0"/>
        <v>1.3532545070416904</v>
      </c>
      <c r="M10" s="2">
        <f t="shared" si="1"/>
        <v>1.4279160358107101</v>
      </c>
      <c r="N10" s="3"/>
      <c r="O10" s="3"/>
    </row>
    <row r="11" spans="1:16" x14ac:dyDescent="0.3">
      <c r="A11">
        <v>1</v>
      </c>
      <c r="B11" t="s">
        <v>42</v>
      </c>
      <c r="C11" t="s">
        <v>43</v>
      </c>
      <c r="D11" t="s">
        <v>44</v>
      </c>
      <c r="E11">
        <v>2.12</v>
      </c>
      <c r="F11">
        <v>3.58</v>
      </c>
      <c r="G11">
        <v>4.03</v>
      </c>
      <c r="H11">
        <v>4</v>
      </c>
      <c r="I11">
        <v>4</v>
      </c>
      <c r="J11">
        <v>2</v>
      </c>
      <c r="K11" t="s">
        <v>25</v>
      </c>
      <c r="L11" s="2">
        <f t="shared" si="0"/>
        <v>1.3937663759585917</v>
      </c>
      <c r="M11" s="2">
        <f t="shared" si="1"/>
        <v>0.69314718055994529</v>
      </c>
      <c r="N11" s="3"/>
      <c r="O11" s="3"/>
    </row>
    <row r="12" spans="1:16" x14ac:dyDescent="0.3">
      <c r="A12">
        <v>2</v>
      </c>
      <c r="B12" t="s">
        <v>45</v>
      </c>
      <c r="C12" t="s">
        <v>24</v>
      </c>
      <c r="D12" t="s">
        <v>36</v>
      </c>
      <c r="E12">
        <v>3.44</v>
      </c>
      <c r="F12">
        <v>3.8</v>
      </c>
      <c r="G12">
        <v>2.2400000000000002</v>
      </c>
      <c r="H12">
        <v>5.35</v>
      </c>
      <c r="I12">
        <v>4.46</v>
      </c>
      <c r="J12">
        <v>1.7</v>
      </c>
      <c r="K12" t="s">
        <v>25</v>
      </c>
      <c r="L12" s="2">
        <f t="shared" si="0"/>
        <v>0.80647586586694853</v>
      </c>
      <c r="M12" s="2">
        <f t="shared" si="1"/>
        <v>0.53062825106217038</v>
      </c>
      <c r="N12" s="3">
        <f>SUM(L12:L21)/COUNT(L12:L21)</f>
        <v>1.0741779999842822</v>
      </c>
      <c r="O12" s="3">
        <f>SUM(M12:M21)/COUNT(M12:M21)</f>
        <v>0.97292202123793392</v>
      </c>
    </row>
    <row r="13" spans="1:16" x14ac:dyDescent="0.3">
      <c r="A13">
        <v>2</v>
      </c>
      <c r="B13" t="s">
        <v>46</v>
      </c>
      <c r="C13" t="s">
        <v>40</v>
      </c>
      <c r="D13" t="s">
        <v>28</v>
      </c>
      <c r="E13">
        <v>1.92</v>
      </c>
      <c r="F13">
        <v>3.85</v>
      </c>
      <c r="G13">
        <v>4.55</v>
      </c>
      <c r="H13">
        <v>1.57</v>
      </c>
      <c r="I13">
        <v>4.92</v>
      </c>
      <c r="J13">
        <v>6.3</v>
      </c>
      <c r="K13" t="s">
        <v>41</v>
      </c>
      <c r="L13" s="2">
        <f t="shared" si="0"/>
        <v>1.3480731482996928</v>
      </c>
      <c r="M13" s="2">
        <f t="shared" si="1"/>
        <v>1.5933085305042167</v>
      </c>
      <c r="N13" s="3"/>
      <c r="O13" s="3"/>
    </row>
    <row r="14" spans="1:16" x14ac:dyDescent="0.3">
      <c r="A14">
        <v>2</v>
      </c>
      <c r="B14" t="s">
        <v>47</v>
      </c>
      <c r="C14" t="s">
        <v>37</v>
      </c>
      <c r="D14" t="s">
        <v>23</v>
      </c>
      <c r="E14">
        <v>2.0099999999999998</v>
      </c>
      <c r="F14">
        <v>3.67</v>
      </c>
      <c r="G14">
        <v>4.32</v>
      </c>
      <c r="H14">
        <v>2.17</v>
      </c>
      <c r="I14">
        <v>3.71</v>
      </c>
      <c r="J14">
        <v>3.7</v>
      </c>
      <c r="K14" t="s">
        <v>25</v>
      </c>
      <c r="L14" s="2">
        <f t="shared" si="0"/>
        <v>1.4632554022560189</v>
      </c>
      <c r="M14" s="2">
        <f t="shared" si="1"/>
        <v>1.3083328196501789</v>
      </c>
      <c r="N14" s="3"/>
      <c r="O14" s="3"/>
    </row>
    <row r="15" spans="1:16" x14ac:dyDescent="0.3">
      <c r="A15">
        <v>2</v>
      </c>
      <c r="B15" t="s">
        <v>47</v>
      </c>
      <c r="C15" t="s">
        <v>16</v>
      </c>
      <c r="D15" t="s">
        <v>19</v>
      </c>
      <c r="E15">
        <v>2.0299999999999998</v>
      </c>
      <c r="F15">
        <v>3.84</v>
      </c>
      <c r="G15">
        <v>4.03</v>
      </c>
      <c r="H15">
        <v>1.91</v>
      </c>
      <c r="I15">
        <v>3.88</v>
      </c>
      <c r="J15">
        <v>4.57</v>
      </c>
      <c r="K15" t="s">
        <v>41</v>
      </c>
      <c r="L15" s="2">
        <f t="shared" si="0"/>
        <v>1.3454723665996355</v>
      </c>
      <c r="M15" s="2">
        <f t="shared" si="1"/>
        <v>1.355835153635182</v>
      </c>
      <c r="N15" s="3"/>
      <c r="O15" s="3"/>
    </row>
    <row r="16" spans="1:16" x14ac:dyDescent="0.3">
      <c r="A16">
        <v>2</v>
      </c>
      <c r="B16" t="s">
        <v>48</v>
      </c>
      <c r="C16" t="s">
        <v>32</v>
      </c>
      <c r="D16" t="s">
        <v>39</v>
      </c>
      <c r="E16">
        <v>2.31</v>
      </c>
      <c r="F16">
        <v>3.51</v>
      </c>
      <c r="G16">
        <v>3.54</v>
      </c>
      <c r="H16">
        <v>2.34</v>
      </c>
      <c r="I16">
        <v>3.9</v>
      </c>
      <c r="J16">
        <v>3.17</v>
      </c>
      <c r="K16" t="s">
        <v>25</v>
      </c>
      <c r="L16" s="2">
        <f t="shared" si="0"/>
        <v>1.2641267271456831</v>
      </c>
      <c r="M16" s="2">
        <f t="shared" si="1"/>
        <v>1.1537315878891892</v>
      </c>
      <c r="N16" s="3"/>
      <c r="O16" s="3"/>
    </row>
    <row r="17" spans="1:15" x14ac:dyDescent="0.3">
      <c r="A17">
        <v>2</v>
      </c>
      <c r="B17" t="s">
        <v>49</v>
      </c>
      <c r="C17" t="s">
        <v>44</v>
      </c>
      <c r="D17" t="s">
        <v>34</v>
      </c>
      <c r="E17">
        <v>2.87</v>
      </c>
      <c r="F17">
        <v>3.63</v>
      </c>
      <c r="G17">
        <v>2.66</v>
      </c>
      <c r="H17">
        <v>1.99</v>
      </c>
      <c r="I17">
        <v>4.05</v>
      </c>
      <c r="J17">
        <v>3.99</v>
      </c>
      <c r="K17" t="s">
        <v>17</v>
      </c>
      <c r="L17" s="2">
        <f t="shared" si="0"/>
        <v>1.0543120297715298</v>
      </c>
      <c r="M17" s="2">
        <f t="shared" si="1"/>
        <v>0.68813463873640102</v>
      </c>
      <c r="N17" s="3"/>
      <c r="O17" s="3"/>
    </row>
    <row r="18" spans="1:15" x14ac:dyDescent="0.3">
      <c r="A18">
        <v>2</v>
      </c>
      <c r="B18" t="s">
        <v>49</v>
      </c>
      <c r="C18" t="s">
        <v>29</v>
      </c>
      <c r="D18" t="s">
        <v>31</v>
      </c>
      <c r="E18">
        <v>2.04</v>
      </c>
      <c r="F18">
        <v>3.75</v>
      </c>
      <c r="G18">
        <v>4.09</v>
      </c>
      <c r="H18">
        <v>2.66</v>
      </c>
      <c r="I18">
        <v>3.56</v>
      </c>
      <c r="J18">
        <v>2.92</v>
      </c>
      <c r="K18" t="s">
        <v>41</v>
      </c>
      <c r="L18" s="2">
        <f t="shared" si="0"/>
        <v>1.3217558399823195</v>
      </c>
      <c r="M18" s="2">
        <f t="shared" si="1"/>
        <v>1.2697605448639391</v>
      </c>
      <c r="N18" s="3"/>
      <c r="O18" s="3"/>
    </row>
    <row r="19" spans="1:15" x14ac:dyDescent="0.3">
      <c r="A19">
        <v>2</v>
      </c>
      <c r="B19" t="s">
        <v>49</v>
      </c>
      <c r="C19" t="s">
        <v>27</v>
      </c>
      <c r="D19" t="s">
        <v>43</v>
      </c>
      <c r="E19">
        <v>2.34</v>
      </c>
      <c r="F19">
        <v>3.49</v>
      </c>
      <c r="G19">
        <v>3.48</v>
      </c>
      <c r="H19">
        <v>2.58</v>
      </c>
      <c r="I19">
        <v>3.43</v>
      </c>
      <c r="J19">
        <v>3.12</v>
      </c>
      <c r="K19" t="s">
        <v>17</v>
      </c>
      <c r="L19" s="2">
        <f t="shared" si="0"/>
        <v>0.85015092936961001</v>
      </c>
      <c r="M19" s="2">
        <f t="shared" si="1"/>
        <v>0.94778939893352609</v>
      </c>
      <c r="N19" s="3"/>
      <c r="O19" s="3"/>
    </row>
    <row r="20" spans="1:15" x14ac:dyDescent="0.3">
      <c r="A20">
        <v>2</v>
      </c>
      <c r="B20" t="s">
        <v>50</v>
      </c>
      <c r="C20" t="s">
        <v>20</v>
      </c>
      <c r="D20" t="s">
        <v>26</v>
      </c>
      <c r="E20">
        <v>1.53</v>
      </c>
      <c r="F20">
        <v>4.8099999999999996</v>
      </c>
      <c r="G20">
        <v>7.31</v>
      </c>
      <c r="H20">
        <v>1.5</v>
      </c>
      <c r="I20">
        <v>5.13</v>
      </c>
      <c r="J20">
        <v>7.13</v>
      </c>
      <c r="K20" t="s">
        <v>17</v>
      </c>
      <c r="L20" s="2">
        <f t="shared" si="0"/>
        <v>0.42526773540434409</v>
      </c>
      <c r="M20" s="2">
        <f t="shared" si="1"/>
        <v>0.40546510810816438</v>
      </c>
      <c r="N20" s="3"/>
      <c r="O20" s="3"/>
    </row>
    <row r="21" spans="1:15" x14ac:dyDescent="0.3">
      <c r="A21">
        <v>2</v>
      </c>
      <c r="B21" t="s">
        <v>51</v>
      </c>
      <c r="C21" t="s">
        <v>35</v>
      </c>
      <c r="D21" t="s">
        <v>15</v>
      </c>
      <c r="E21">
        <v>3.32</v>
      </c>
      <c r="F21">
        <v>3.61</v>
      </c>
      <c r="G21">
        <v>2.37</v>
      </c>
      <c r="H21">
        <v>6.31</v>
      </c>
      <c r="I21">
        <v>4.5599999999999996</v>
      </c>
      <c r="J21">
        <v>1.61</v>
      </c>
      <c r="K21" t="s">
        <v>25</v>
      </c>
      <c r="L21" s="2">
        <f t="shared" si="0"/>
        <v>0.86288995514703981</v>
      </c>
      <c r="M21" s="2">
        <f t="shared" si="1"/>
        <v>0.47623417899637172</v>
      </c>
      <c r="N21" s="3"/>
      <c r="O21" s="3"/>
    </row>
    <row r="22" spans="1:15" x14ac:dyDescent="0.3">
      <c r="A22">
        <v>3</v>
      </c>
      <c r="B22" t="s">
        <v>52</v>
      </c>
      <c r="C22" t="s">
        <v>26</v>
      </c>
      <c r="D22" t="s">
        <v>40</v>
      </c>
      <c r="E22">
        <v>3.63</v>
      </c>
      <c r="F22">
        <v>3.63</v>
      </c>
      <c r="G22">
        <v>2.23</v>
      </c>
      <c r="H22">
        <v>5.47</v>
      </c>
      <c r="I22">
        <v>4.82</v>
      </c>
      <c r="J22">
        <v>1.64</v>
      </c>
      <c r="K22" t="s">
        <v>25</v>
      </c>
      <c r="L22" s="2">
        <f t="shared" si="0"/>
        <v>0.80200158547202738</v>
      </c>
      <c r="M22" s="2">
        <f t="shared" si="1"/>
        <v>0.494696241836107</v>
      </c>
      <c r="N22" s="3">
        <f>SUM(L22:L31)/COUNT(L22:L31)</f>
        <v>1.1055661978007494</v>
      </c>
      <c r="O22" s="3">
        <f>SUM(M22:M31)/COUNT(M22:M31)</f>
        <v>1.0590334764699205</v>
      </c>
    </row>
    <row r="23" spans="1:15" x14ac:dyDescent="0.3">
      <c r="A23">
        <v>3</v>
      </c>
      <c r="B23" t="s">
        <v>53</v>
      </c>
      <c r="C23" t="s">
        <v>39</v>
      </c>
      <c r="D23" t="s">
        <v>37</v>
      </c>
      <c r="E23">
        <v>2.2400000000000002</v>
      </c>
      <c r="F23">
        <v>3.94</v>
      </c>
      <c r="G23">
        <v>3.33</v>
      </c>
      <c r="H23">
        <v>2.27</v>
      </c>
      <c r="I23">
        <v>4.04</v>
      </c>
      <c r="J23">
        <v>3.22</v>
      </c>
      <c r="K23" t="s">
        <v>41</v>
      </c>
      <c r="L23" s="2">
        <f t="shared" si="0"/>
        <v>1.3711807233098425</v>
      </c>
      <c r="M23" s="2">
        <f t="shared" si="1"/>
        <v>1.3962446919730587</v>
      </c>
      <c r="N23" s="3"/>
      <c r="O23" s="3"/>
    </row>
    <row r="24" spans="1:15" x14ac:dyDescent="0.3">
      <c r="A24">
        <v>3</v>
      </c>
      <c r="B24" t="s">
        <v>54</v>
      </c>
      <c r="C24" t="s">
        <v>31</v>
      </c>
      <c r="D24" t="s">
        <v>27</v>
      </c>
      <c r="E24">
        <v>2.06</v>
      </c>
      <c r="F24">
        <v>3.83</v>
      </c>
      <c r="G24">
        <v>3.94</v>
      </c>
      <c r="H24">
        <v>1.7</v>
      </c>
      <c r="I24">
        <v>4.2</v>
      </c>
      <c r="J24">
        <v>5.81</v>
      </c>
      <c r="K24" t="s">
        <v>41</v>
      </c>
      <c r="L24" s="2">
        <f t="shared" si="0"/>
        <v>1.3428648031925547</v>
      </c>
      <c r="M24" s="2">
        <f t="shared" si="1"/>
        <v>1.4350845252893227</v>
      </c>
      <c r="N24" s="3"/>
      <c r="O24" s="3"/>
    </row>
    <row r="25" spans="1:15" x14ac:dyDescent="0.3">
      <c r="A25">
        <v>3</v>
      </c>
      <c r="B25" t="s">
        <v>54</v>
      </c>
      <c r="C25" t="s">
        <v>34</v>
      </c>
      <c r="D25" t="s">
        <v>29</v>
      </c>
      <c r="E25">
        <v>1.9</v>
      </c>
      <c r="F25">
        <v>3.72</v>
      </c>
      <c r="G25">
        <v>4.8600000000000003</v>
      </c>
      <c r="H25">
        <v>2.02</v>
      </c>
      <c r="I25">
        <v>3.76</v>
      </c>
      <c r="J25">
        <v>4.18</v>
      </c>
      <c r="K25" t="s">
        <v>41</v>
      </c>
      <c r="L25" s="2">
        <f t="shared" si="0"/>
        <v>1.3137236682850553</v>
      </c>
      <c r="M25" s="2">
        <f t="shared" si="1"/>
        <v>1.324418957401803</v>
      </c>
      <c r="N25" s="3"/>
      <c r="O25" s="3"/>
    </row>
    <row r="26" spans="1:15" x14ac:dyDescent="0.3">
      <c r="A26">
        <v>3</v>
      </c>
      <c r="B26" t="s">
        <v>54</v>
      </c>
      <c r="C26" t="s">
        <v>43</v>
      </c>
      <c r="D26" t="s">
        <v>24</v>
      </c>
      <c r="E26">
        <v>1.96</v>
      </c>
      <c r="F26">
        <v>3.7</v>
      </c>
      <c r="G26">
        <v>4.57</v>
      </c>
      <c r="H26">
        <v>2.44</v>
      </c>
      <c r="I26">
        <v>3.58</v>
      </c>
      <c r="J26">
        <v>3.22</v>
      </c>
      <c r="K26" t="s">
        <v>25</v>
      </c>
      <c r="L26" s="2">
        <f t="shared" si="0"/>
        <v>1.5195132049061133</v>
      </c>
      <c r="M26" s="2">
        <f t="shared" si="1"/>
        <v>1.1693813595563169</v>
      </c>
      <c r="N26" s="3"/>
      <c r="O26" s="3"/>
    </row>
    <row r="27" spans="1:15" x14ac:dyDescent="0.3">
      <c r="A27">
        <v>3</v>
      </c>
      <c r="B27" t="s">
        <v>54</v>
      </c>
      <c r="C27" t="s">
        <v>36</v>
      </c>
      <c r="D27" t="s">
        <v>16</v>
      </c>
      <c r="E27">
        <v>1.55</v>
      </c>
      <c r="F27">
        <v>4.5999999999999996</v>
      </c>
      <c r="G27">
        <v>7.2</v>
      </c>
      <c r="H27">
        <v>1.22</v>
      </c>
      <c r="I27">
        <v>8.31</v>
      </c>
      <c r="J27">
        <v>16.489999999999998</v>
      </c>
      <c r="K27" t="s">
        <v>17</v>
      </c>
      <c r="L27" s="2">
        <f t="shared" si="0"/>
        <v>0.43825493093115531</v>
      </c>
      <c r="M27" s="2">
        <f t="shared" si="1"/>
        <v>0.19885085874516517</v>
      </c>
      <c r="N27" s="3"/>
      <c r="O27" s="3"/>
    </row>
    <row r="28" spans="1:15" x14ac:dyDescent="0.3">
      <c r="A28">
        <v>3</v>
      </c>
      <c r="B28" t="s">
        <v>54</v>
      </c>
      <c r="C28" t="s">
        <v>28</v>
      </c>
      <c r="D28" t="s">
        <v>32</v>
      </c>
      <c r="E28">
        <v>2.6</v>
      </c>
      <c r="F28">
        <v>3.38</v>
      </c>
      <c r="G28">
        <v>3.14</v>
      </c>
      <c r="H28">
        <v>2.56</v>
      </c>
      <c r="I28">
        <v>3.62</v>
      </c>
      <c r="J28">
        <v>3</v>
      </c>
      <c r="K28" t="s">
        <v>41</v>
      </c>
      <c r="L28" s="2">
        <f t="shared" si="0"/>
        <v>1.2178757094949273</v>
      </c>
      <c r="M28" s="2">
        <f t="shared" si="1"/>
        <v>1.2864740258376797</v>
      </c>
      <c r="N28" s="3"/>
      <c r="O28" s="3"/>
    </row>
    <row r="29" spans="1:15" x14ac:dyDescent="0.3">
      <c r="A29">
        <v>3</v>
      </c>
      <c r="B29" t="s">
        <v>55</v>
      </c>
      <c r="C29" t="s">
        <v>19</v>
      </c>
      <c r="D29" t="s">
        <v>35</v>
      </c>
      <c r="E29">
        <v>2.81</v>
      </c>
      <c r="F29">
        <v>3.58</v>
      </c>
      <c r="G29">
        <v>2.74</v>
      </c>
      <c r="H29">
        <v>4.2300000000000004</v>
      </c>
      <c r="I29">
        <v>3.86</v>
      </c>
      <c r="J29">
        <v>1.98</v>
      </c>
      <c r="K29" t="s">
        <v>41</v>
      </c>
      <c r="L29" s="2">
        <f t="shared" si="0"/>
        <v>1.275362800412609</v>
      </c>
      <c r="M29" s="2">
        <f t="shared" si="1"/>
        <v>1.3506671834767394</v>
      </c>
      <c r="N29" s="3"/>
      <c r="O29" s="3"/>
    </row>
    <row r="30" spans="1:15" x14ac:dyDescent="0.3">
      <c r="A30">
        <v>3</v>
      </c>
      <c r="B30" t="s">
        <v>56</v>
      </c>
      <c r="C30" t="s">
        <v>23</v>
      </c>
      <c r="D30" t="s">
        <v>20</v>
      </c>
      <c r="E30">
        <v>3.28</v>
      </c>
      <c r="F30">
        <v>3.43</v>
      </c>
      <c r="G30">
        <v>2.48</v>
      </c>
      <c r="H30">
        <v>3.26</v>
      </c>
      <c r="I30">
        <v>3.91</v>
      </c>
      <c r="J30">
        <v>2.29</v>
      </c>
      <c r="K30" t="s">
        <v>41</v>
      </c>
      <c r="L30" s="2">
        <f t="shared" si="0"/>
        <v>1.2325602611778486</v>
      </c>
      <c r="M30" s="2">
        <f t="shared" si="1"/>
        <v>1.3635373739972745</v>
      </c>
      <c r="N30" s="3"/>
      <c r="O30" s="3"/>
    </row>
    <row r="31" spans="1:15" x14ac:dyDescent="0.3">
      <c r="A31">
        <v>3</v>
      </c>
      <c r="B31" t="s">
        <v>57</v>
      </c>
      <c r="C31" t="s">
        <v>15</v>
      </c>
      <c r="D31" t="s">
        <v>44</v>
      </c>
      <c r="E31">
        <v>1.72</v>
      </c>
      <c r="F31">
        <v>4</v>
      </c>
      <c r="G31">
        <v>5.91</v>
      </c>
      <c r="H31">
        <v>1.77</v>
      </c>
      <c r="I31">
        <v>4.0999999999999996</v>
      </c>
      <c r="J31">
        <v>5.21</v>
      </c>
      <c r="K31" t="s">
        <v>17</v>
      </c>
      <c r="L31" s="2">
        <f t="shared" si="0"/>
        <v>0.54232429082536171</v>
      </c>
      <c r="M31" s="2">
        <f t="shared" si="1"/>
        <v>0.5709795465857378</v>
      </c>
      <c r="N31" s="3"/>
      <c r="O31" s="3"/>
    </row>
    <row r="32" spans="1:15" x14ac:dyDescent="0.3">
      <c r="A32">
        <v>4</v>
      </c>
      <c r="B32" t="s">
        <v>58</v>
      </c>
      <c r="C32" t="s">
        <v>37</v>
      </c>
      <c r="D32" t="s">
        <v>31</v>
      </c>
      <c r="E32">
        <v>1.91</v>
      </c>
      <c r="F32">
        <v>3.81</v>
      </c>
      <c r="G32">
        <v>4.66</v>
      </c>
      <c r="H32">
        <v>2.57</v>
      </c>
      <c r="I32">
        <v>3.7</v>
      </c>
      <c r="J32">
        <v>2.94</v>
      </c>
      <c r="K32" t="s">
        <v>41</v>
      </c>
      <c r="L32" s="2">
        <f t="shared" si="0"/>
        <v>1.3376291891386096</v>
      </c>
      <c r="M32" s="2">
        <f t="shared" si="1"/>
        <v>1.3083328196501789</v>
      </c>
      <c r="N32" s="3">
        <f>SUM(L32:L41)/COUNT(L32:L41)</f>
        <v>1.1676364780109636</v>
      </c>
      <c r="O32" s="3">
        <f>SUM(M32:M41)/COUNT(M32:M41)</f>
        <v>1.1818725260263816</v>
      </c>
    </row>
    <row r="33" spans="1:15" x14ac:dyDescent="0.3">
      <c r="A33">
        <v>4</v>
      </c>
      <c r="B33" t="s">
        <v>58</v>
      </c>
      <c r="C33" t="s">
        <v>35</v>
      </c>
      <c r="D33" t="s">
        <v>28</v>
      </c>
      <c r="E33">
        <v>2.14</v>
      </c>
      <c r="F33">
        <v>3.63</v>
      </c>
      <c r="G33">
        <v>3.89</v>
      </c>
      <c r="H33">
        <v>2.31</v>
      </c>
      <c r="I33">
        <v>3.58</v>
      </c>
      <c r="J33">
        <v>3.47</v>
      </c>
      <c r="K33" t="s">
        <v>25</v>
      </c>
      <c r="L33" s="2">
        <f t="shared" si="0"/>
        <v>1.358409157630355</v>
      </c>
      <c r="M33" s="2">
        <f t="shared" si="1"/>
        <v>1.2441545939587679</v>
      </c>
      <c r="N33" s="3"/>
      <c r="O33" s="3"/>
    </row>
    <row r="34" spans="1:15" x14ac:dyDescent="0.3">
      <c r="A34">
        <v>4</v>
      </c>
      <c r="B34" t="s">
        <v>58</v>
      </c>
      <c r="C34" t="s">
        <v>44</v>
      </c>
      <c r="D34" t="s">
        <v>19</v>
      </c>
      <c r="E34">
        <v>2.0499999999999998</v>
      </c>
      <c r="F34">
        <v>4</v>
      </c>
      <c r="G34">
        <v>3.83</v>
      </c>
      <c r="H34">
        <v>1.27</v>
      </c>
      <c r="I34">
        <v>7.26</v>
      </c>
      <c r="J34">
        <v>13.42</v>
      </c>
      <c r="K34" t="s">
        <v>41</v>
      </c>
      <c r="L34" s="2">
        <f t="shared" ref="L34:L51" si="2">IF(K34="H",LN(E34),IF(K34="D",LN(F34),IF(K34="A",LN(G34),"")))</f>
        <v>1.3862943611198906</v>
      </c>
      <c r="M34" s="2">
        <f t="shared" ref="M34:M51" si="3">IF(K34="H",LN(H34),IF(K34="D",LN(I34),IF(K34="A",LN(J34),"")))</f>
        <v>1.9823798288367047</v>
      </c>
      <c r="N34" s="3"/>
      <c r="O34" s="3"/>
    </row>
    <row r="35" spans="1:15" x14ac:dyDescent="0.3">
      <c r="A35">
        <v>4</v>
      </c>
      <c r="B35" t="s">
        <v>58</v>
      </c>
      <c r="C35" t="s">
        <v>24</v>
      </c>
      <c r="D35" t="s">
        <v>26</v>
      </c>
      <c r="E35">
        <v>1.88</v>
      </c>
      <c r="F35">
        <v>4.0599999999999996</v>
      </c>
      <c r="G35">
        <v>4.49</v>
      </c>
      <c r="H35">
        <v>1.97</v>
      </c>
      <c r="I35">
        <v>3.88</v>
      </c>
      <c r="J35">
        <v>4.25</v>
      </c>
      <c r="K35" t="s">
        <v>25</v>
      </c>
      <c r="L35" s="2">
        <f t="shared" si="2"/>
        <v>1.501852701754163</v>
      </c>
      <c r="M35" s="2">
        <f t="shared" si="3"/>
        <v>1.4469189829363254</v>
      </c>
      <c r="N35" s="3"/>
      <c r="O35" s="3"/>
    </row>
    <row r="36" spans="1:15" x14ac:dyDescent="0.3">
      <c r="A36">
        <v>4</v>
      </c>
      <c r="B36" t="s">
        <v>58</v>
      </c>
      <c r="C36" t="s">
        <v>40</v>
      </c>
      <c r="D36" t="s">
        <v>43</v>
      </c>
      <c r="E36">
        <v>1.81</v>
      </c>
      <c r="F36">
        <v>3.86</v>
      </c>
      <c r="G36">
        <v>5.33</v>
      </c>
      <c r="H36">
        <v>1.58</v>
      </c>
      <c r="I36">
        <v>4.97</v>
      </c>
      <c r="J36">
        <v>6.07</v>
      </c>
      <c r="K36" t="s">
        <v>41</v>
      </c>
      <c r="L36" s="2">
        <f t="shared" si="2"/>
        <v>1.3506671834767394</v>
      </c>
      <c r="M36" s="2">
        <f t="shared" si="3"/>
        <v>1.6034198401085373</v>
      </c>
      <c r="N36" s="3"/>
      <c r="O36" s="3"/>
    </row>
    <row r="37" spans="1:15" x14ac:dyDescent="0.3">
      <c r="A37">
        <v>4</v>
      </c>
      <c r="B37" t="s">
        <v>59</v>
      </c>
      <c r="C37" t="s">
        <v>32</v>
      </c>
      <c r="D37" t="s">
        <v>23</v>
      </c>
      <c r="E37">
        <v>2.69</v>
      </c>
      <c r="F37">
        <v>3.49</v>
      </c>
      <c r="G37">
        <v>2.92</v>
      </c>
      <c r="H37">
        <v>2.11</v>
      </c>
      <c r="I37">
        <v>3.94</v>
      </c>
      <c r="J37">
        <v>3.68</v>
      </c>
      <c r="K37" t="s">
        <v>41</v>
      </c>
      <c r="L37" s="2">
        <f t="shared" si="2"/>
        <v>1.2499017362143359</v>
      </c>
      <c r="M37" s="2">
        <f t="shared" si="3"/>
        <v>1.3711807233098425</v>
      </c>
      <c r="N37" s="3"/>
      <c r="O37" s="3"/>
    </row>
    <row r="38" spans="1:15" x14ac:dyDescent="0.3">
      <c r="A38">
        <v>4</v>
      </c>
      <c r="B38" t="s">
        <v>60</v>
      </c>
      <c r="C38" t="s">
        <v>27</v>
      </c>
      <c r="D38" t="s">
        <v>15</v>
      </c>
      <c r="E38">
        <v>3.89</v>
      </c>
      <c r="F38">
        <v>3.61</v>
      </c>
      <c r="G38">
        <v>2.15</v>
      </c>
      <c r="H38">
        <v>7.11</v>
      </c>
      <c r="I38">
        <v>3.98</v>
      </c>
      <c r="J38">
        <v>1.64</v>
      </c>
      <c r="K38" t="s">
        <v>25</v>
      </c>
      <c r="L38" s="2">
        <f t="shared" si="2"/>
        <v>0.76546784213957142</v>
      </c>
      <c r="M38" s="2">
        <f t="shared" si="3"/>
        <v>0.494696241836107</v>
      </c>
      <c r="N38" s="3"/>
      <c r="O38" s="3"/>
    </row>
    <row r="39" spans="1:15" x14ac:dyDescent="0.3">
      <c r="A39">
        <v>4</v>
      </c>
      <c r="B39" t="s">
        <v>61</v>
      </c>
      <c r="C39" t="s">
        <v>16</v>
      </c>
      <c r="D39" t="s">
        <v>34</v>
      </c>
      <c r="E39">
        <v>2.87</v>
      </c>
      <c r="F39">
        <v>3.5</v>
      </c>
      <c r="G39">
        <v>2.74</v>
      </c>
      <c r="H39">
        <v>4.09</v>
      </c>
      <c r="I39">
        <v>3.98</v>
      </c>
      <c r="J39">
        <v>1.98</v>
      </c>
      <c r="K39" t="s">
        <v>25</v>
      </c>
      <c r="L39" s="2">
        <f t="shared" si="2"/>
        <v>1.0079579203999789</v>
      </c>
      <c r="M39" s="2">
        <f t="shared" si="3"/>
        <v>0.68309684470644383</v>
      </c>
      <c r="N39" s="3"/>
      <c r="O39" s="3"/>
    </row>
    <row r="40" spans="1:15" x14ac:dyDescent="0.3">
      <c r="A40">
        <v>4</v>
      </c>
      <c r="B40" t="s">
        <v>62</v>
      </c>
      <c r="C40" t="s">
        <v>20</v>
      </c>
      <c r="D40" t="s">
        <v>36</v>
      </c>
      <c r="E40">
        <v>2.78</v>
      </c>
      <c r="F40">
        <v>3.75</v>
      </c>
      <c r="G40">
        <v>2.68</v>
      </c>
      <c r="H40">
        <v>3.26</v>
      </c>
      <c r="I40">
        <v>4.18</v>
      </c>
      <c r="J40">
        <v>2.2000000000000002</v>
      </c>
      <c r="K40" t="s">
        <v>25</v>
      </c>
      <c r="L40" s="2">
        <f t="shared" si="2"/>
        <v>0.98581679452276538</v>
      </c>
      <c r="M40" s="2">
        <f t="shared" si="3"/>
        <v>0.78845736036427028</v>
      </c>
      <c r="N40" s="3"/>
      <c r="O40" s="3"/>
    </row>
    <row r="41" spans="1:15" x14ac:dyDescent="0.3">
      <c r="A41">
        <v>4</v>
      </c>
      <c r="B41" t="s">
        <v>63</v>
      </c>
      <c r="C41" t="s">
        <v>29</v>
      </c>
      <c r="D41" t="s">
        <v>39</v>
      </c>
      <c r="E41">
        <v>2.08</v>
      </c>
      <c r="F41">
        <v>3.71</v>
      </c>
      <c r="G41">
        <v>4.01</v>
      </c>
      <c r="H41">
        <v>2.4500000000000002</v>
      </c>
      <c r="I41">
        <v>3.74</v>
      </c>
      <c r="J41">
        <v>3.08</v>
      </c>
      <c r="K41" t="s">
        <v>17</v>
      </c>
      <c r="L41" s="2">
        <f t="shared" si="2"/>
        <v>0.73236789371322664</v>
      </c>
      <c r="M41" s="2">
        <f t="shared" si="3"/>
        <v>0.89608802455663572</v>
      </c>
      <c r="N41" s="3"/>
      <c r="O41" s="3"/>
    </row>
    <row r="42" spans="1:15" x14ac:dyDescent="0.3">
      <c r="A42">
        <v>5</v>
      </c>
      <c r="B42" t="s">
        <v>64</v>
      </c>
      <c r="C42" t="s">
        <v>32</v>
      </c>
      <c r="D42" t="s">
        <v>35</v>
      </c>
      <c r="E42">
        <v>2.17</v>
      </c>
      <c r="F42">
        <v>3.46</v>
      </c>
      <c r="G42">
        <v>3.99</v>
      </c>
      <c r="H42">
        <v>2.02</v>
      </c>
      <c r="I42">
        <v>3.94</v>
      </c>
      <c r="J42">
        <v>3.98</v>
      </c>
      <c r="K42" t="s">
        <v>25</v>
      </c>
      <c r="L42" s="2">
        <f t="shared" si="2"/>
        <v>1.3837912309017721</v>
      </c>
      <c r="M42" s="2">
        <f t="shared" si="3"/>
        <v>1.3812818192963463</v>
      </c>
      <c r="N42" s="3">
        <f>SUM(L42:L51)/COUNT(L42:L51)</f>
        <v>1.0623394800717694</v>
      </c>
      <c r="O42" s="3">
        <f>SUM(M42:M51)/COUNT(M42:M51)</f>
        <v>1.073328913171127</v>
      </c>
    </row>
    <row r="43" spans="1:15" x14ac:dyDescent="0.3">
      <c r="A43">
        <v>5</v>
      </c>
      <c r="B43" t="s">
        <v>65</v>
      </c>
      <c r="C43" t="s">
        <v>34</v>
      </c>
      <c r="D43" t="s">
        <v>15</v>
      </c>
      <c r="E43">
        <v>3.24</v>
      </c>
      <c r="F43">
        <v>3.53</v>
      </c>
      <c r="G43">
        <v>2.4500000000000002</v>
      </c>
      <c r="H43">
        <v>4.9800000000000004</v>
      </c>
      <c r="I43">
        <v>4.2</v>
      </c>
      <c r="J43">
        <v>1.78</v>
      </c>
      <c r="K43" t="s">
        <v>17</v>
      </c>
      <c r="L43" s="2">
        <f t="shared" si="2"/>
        <v>1.1755733298042381</v>
      </c>
      <c r="M43" s="2">
        <f t="shared" si="3"/>
        <v>1.6054298910365616</v>
      </c>
      <c r="N43" s="3"/>
      <c r="O43" s="3"/>
    </row>
    <row r="44" spans="1:15" x14ac:dyDescent="0.3">
      <c r="A44">
        <v>5</v>
      </c>
      <c r="B44" t="s">
        <v>65</v>
      </c>
      <c r="C44" t="s">
        <v>23</v>
      </c>
      <c r="D44" t="s">
        <v>26</v>
      </c>
      <c r="E44">
        <v>1.93</v>
      </c>
      <c r="F44">
        <v>3.79</v>
      </c>
      <c r="G44">
        <v>4.6100000000000003</v>
      </c>
      <c r="H44">
        <v>1.86</v>
      </c>
      <c r="I44">
        <v>4</v>
      </c>
      <c r="J44">
        <v>4.6900000000000004</v>
      </c>
      <c r="K44" t="s">
        <v>17</v>
      </c>
      <c r="L44" s="2">
        <f t="shared" si="2"/>
        <v>0.65752000291679413</v>
      </c>
      <c r="M44" s="2">
        <f t="shared" si="3"/>
        <v>0.62057648772510998</v>
      </c>
      <c r="N44" s="3"/>
      <c r="O44" s="3"/>
    </row>
    <row r="45" spans="1:15" x14ac:dyDescent="0.3">
      <c r="A45">
        <v>5</v>
      </c>
      <c r="B45" t="s">
        <v>65</v>
      </c>
      <c r="C45" t="s">
        <v>39</v>
      </c>
      <c r="D45" t="s">
        <v>19</v>
      </c>
      <c r="E45">
        <v>2.0099999999999998</v>
      </c>
      <c r="F45">
        <v>4.1100000000000003</v>
      </c>
      <c r="G45">
        <v>3.87</v>
      </c>
      <c r="H45">
        <v>1.67</v>
      </c>
      <c r="I45">
        <v>4.57</v>
      </c>
      <c r="J45">
        <v>5.51</v>
      </c>
      <c r="K45" t="s">
        <v>17</v>
      </c>
      <c r="L45" s="2">
        <f t="shared" si="2"/>
        <v>0.69813472207098426</v>
      </c>
      <c r="M45" s="2">
        <f t="shared" si="3"/>
        <v>0.51282362642866375</v>
      </c>
      <c r="N45" s="3"/>
      <c r="O45" s="3"/>
    </row>
    <row r="46" spans="1:15" x14ac:dyDescent="0.3">
      <c r="A46">
        <v>5</v>
      </c>
      <c r="B46" t="s">
        <v>66</v>
      </c>
      <c r="C46" t="s">
        <v>28</v>
      </c>
      <c r="D46" t="s">
        <v>16</v>
      </c>
      <c r="E46">
        <v>1.97</v>
      </c>
      <c r="F46">
        <v>3.58</v>
      </c>
      <c r="G46">
        <v>4.6900000000000004</v>
      </c>
      <c r="H46">
        <v>1.71</v>
      </c>
      <c r="I46">
        <v>4.2300000000000004</v>
      </c>
      <c r="J46">
        <v>5.6</v>
      </c>
      <c r="K46" t="s">
        <v>25</v>
      </c>
      <c r="L46" s="2">
        <f t="shared" si="2"/>
        <v>1.545432582458188</v>
      </c>
      <c r="M46" s="2">
        <f t="shared" si="3"/>
        <v>1.7227665977411035</v>
      </c>
      <c r="N46" s="3"/>
      <c r="O46" s="3"/>
    </row>
    <row r="47" spans="1:15" x14ac:dyDescent="0.3">
      <c r="A47">
        <v>5</v>
      </c>
      <c r="B47" t="s">
        <v>67</v>
      </c>
      <c r="C47" t="s">
        <v>37</v>
      </c>
      <c r="D47" t="s">
        <v>40</v>
      </c>
      <c r="E47">
        <v>2.13</v>
      </c>
      <c r="F47">
        <v>3.57</v>
      </c>
      <c r="G47">
        <v>4</v>
      </c>
      <c r="H47">
        <v>3.26</v>
      </c>
      <c r="I47">
        <v>4.0599999999999996</v>
      </c>
      <c r="J47">
        <v>2.2400000000000002</v>
      </c>
      <c r="K47" t="s">
        <v>25</v>
      </c>
      <c r="L47" s="2">
        <f t="shared" si="2"/>
        <v>1.3862943611198906</v>
      </c>
      <c r="M47" s="2">
        <f t="shared" si="3"/>
        <v>0.80647586586694853</v>
      </c>
      <c r="N47" s="3"/>
      <c r="O47" s="3"/>
    </row>
    <row r="48" spans="1:15" x14ac:dyDescent="0.3">
      <c r="A48">
        <v>5</v>
      </c>
      <c r="B48" t="s">
        <v>67</v>
      </c>
      <c r="C48" t="s">
        <v>29</v>
      </c>
      <c r="D48" t="s">
        <v>24</v>
      </c>
      <c r="E48">
        <v>1.9</v>
      </c>
      <c r="F48">
        <v>3.79</v>
      </c>
      <c r="G48">
        <v>4.74</v>
      </c>
      <c r="H48">
        <v>1.78</v>
      </c>
      <c r="I48">
        <v>4.1500000000000004</v>
      </c>
      <c r="J48">
        <v>5.03</v>
      </c>
      <c r="K48" t="s">
        <v>41</v>
      </c>
      <c r="L48" s="2">
        <f t="shared" si="2"/>
        <v>1.3323660190943349</v>
      </c>
      <c r="M48" s="2">
        <f t="shared" si="3"/>
        <v>1.423108334242607</v>
      </c>
      <c r="N48" s="3"/>
      <c r="O48" s="3"/>
    </row>
    <row r="49" spans="1:15" x14ac:dyDescent="0.3">
      <c r="A49">
        <v>5</v>
      </c>
      <c r="B49" t="s">
        <v>67</v>
      </c>
      <c r="C49" t="s">
        <v>36</v>
      </c>
      <c r="D49" t="s">
        <v>27</v>
      </c>
      <c r="E49">
        <v>1.72</v>
      </c>
      <c r="F49">
        <v>4.21</v>
      </c>
      <c r="G49">
        <v>5.52</v>
      </c>
      <c r="H49">
        <v>1.35</v>
      </c>
      <c r="I49">
        <v>6.03</v>
      </c>
      <c r="J49">
        <v>10.47</v>
      </c>
      <c r="K49" t="s">
        <v>17</v>
      </c>
      <c r="L49" s="2">
        <f t="shared" si="2"/>
        <v>0.54232429082536171</v>
      </c>
      <c r="M49" s="2">
        <f t="shared" si="3"/>
        <v>0.30010459245033816</v>
      </c>
      <c r="N49" s="3"/>
      <c r="O49" s="3"/>
    </row>
    <row r="50" spans="1:15" x14ac:dyDescent="0.3">
      <c r="A50">
        <v>5</v>
      </c>
      <c r="B50" t="s">
        <v>68</v>
      </c>
      <c r="C50" t="s">
        <v>43</v>
      </c>
      <c r="D50" t="s">
        <v>20</v>
      </c>
      <c r="E50">
        <v>2.77</v>
      </c>
      <c r="F50">
        <v>3.3</v>
      </c>
      <c r="G50">
        <v>2.97</v>
      </c>
      <c r="H50">
        <v>3.64</v>
      </c>
      <c r="I50">
        <v>3.94</v>
      </c>
      <c r="J50">
        <v>2.12</v>
      </c>
      <c r="K50" t="s">
        <v>41</v>
      </c>
      <c r="L50" s="2">
        <f t="shared" si="2"/>
        <v>1.1939224684724346</v>
      </c>
      <c r="M50" s="2">
        <f t="shared" si="3"/>
        <v>1.3711807233098425</v>
      </c>
      <c r="N50" s="3"/>
      <c r="O50" s="3"/>
    </row>
    <row r="51" spans="1:15" x14ac:dyDescent="0.3">
      <c r="A51">
        <v>5</v>
      </c>
      <c r="B51" t="s">
        <v>69</v>
      </c>
      <c r="C51" t="s">
        <v>31</v>
      </c>
      <c r="D51" t="s">
        <v>44</v>
      </c>
      <c r="E51">
        <v>2.0299999999999998</v>
      </c>
      <c r="F51">
        <v>3.85</v>
      </c>
      <c r="G51">
        <v>4.05</v>
      </c>
      <c r="H51">
        <v>2.69</v>
      </c>
      <c r="I51">
        <v>3.8</v>
      </c>
      <c r="J51">
        <v>2.74</v>
      </c>
      <c r="K51" t="s">
        <v>17</v>
      </c>
      <c r="L51" s="2">
        <f t="shared" si="2"/>
        <v>0.70803579305369591</v>
      </c>
      <c r="M51" s="2">
        <f t="shared" si="3"/>
        <v>0.9895411936137477</v>
      </c>
      <c r="N51" s="3"/>
      <c r="O51" s="3"/>
    </row>
  </sheetData>
  <mergeCells count="10">
    <mergeCell ref="O42:O51"/>
    <mergeCell ref="N12:N21"/>
    <mergeCell ref="N22:N31"/>
    <mergeCell ref="N32:N41"/>
    <mergeCell ref="N42:N51"/>
    <mergeCell ref="N2:N11"/>
    <mergeCell ref="O2:O11"/>
    <mergeCell ref="O12:O21"/>
    <mergeCell ref="O22:O31"/>
    <mergeCell ref="O32:O41"/>
  </mergeCells>
  <conditionalFormatting sqref="L1:M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:O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 Grega</cp:lastModifiedBy>
  <dcterms:created xsi:type="dcterms:W3CDTF">2026-09-19T10:20:05Z</dcterms:created>
  <dcterms:modified xsi:type="dcterms:W3CDTF">2026-09-25T08:33:46Z</dcterms:modified>
</cp:coreProperties>
</file>